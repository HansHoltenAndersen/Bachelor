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ussmidt/Desktop/"/>
    </mc:Choice>
  </mc:AlternateContent>
  <xr:revisionPtr revIDLastSave="0" documentId="13_ncr:1_{C7FF7D49-1435-D741-AD13-E1F808221067}" xr6:coauthVersionLast="47" xr6:coauthVersionMax="47" xr10:uidLastSave="{00000000-0000-0000-0000-000000000000}"/>
  <bookViews>
    <workbookView xWindow="640" yWindow="1000" windowWidth="27200" windowHeight="15600" xr2:uid="{14A65F0C-9596-7843-96D8-C965E619F58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14" i="1" l="1"/>
  <c r="C15" i="1"/>
  <c r="C13" i="1"/>
  <c r="C23" i="1"/>
  <c r="C20" i="1"/>
  <c r="C21" i="1" s="1"/>
  <c r="C22" i="1" s="1"/>
  <c r="C24" i="1" s="1"/>
  <c r="C25" i="1" l="1"/>
  <c r="C26" i="1" s="1"/>
  <c r="D8" i="1"/>
  <c r="L15" i="1"/>
  <c r="L17" i="1" s="1"/>
  <c r="N9" i="1"/>
  <c r="N10" i="1" s="1"/>
  <c r="L23" i="1"/>
  <c r="M23" i="1" s="1"/>
  <c r="T16" i="1" l="1"/>
  <c r="T19" i="1" s="1"/>
  <c r="P10" i="1"/>
</calcChain>
</file>

<file path=xl/sharedStrings.xml><?xml version="1.0" encoding="utf-8"?>
<sst xmlns="http://schemas.openxmlformats.org/spreadsheetml/2006/main" count="21" uniqueCount="21">
  <si>
    <t>Maks boligudgift</t>
  </si>
  <si>
    <t>Maks Huslejeandel</t>
  </si>
  <si>
    <t>Boligstøtte - uden børn</t>
  </si>
  <si>
    <t>Maks boligstøtte, år</t>
  </si>
  <si>
    <t>Maks boligstøtte, måned</t>
  </si>
  <si>
    <t>Indkomstgrænse</t>
  </si>
  <si>
    <t>Indkomstandel sats</t>
  </si>
  <si>
    <t>Huslejeandel sats</t>
  </si>
  <si>
    <t>Boligudgift sats</t>
  </si>
  <si>
    <t>Indkomst eksempel</t>
  </si>
  <si>
    <t>Indkomstandel</t>
  </si>
  <si>
    <t>Boligudgift eksempel</t>
  </si>
  <si>
    <t>Huslejeandel</t>
  </si>
  <si>
    <t>Huslejeandel-indkomstandel</t>
  </si>
  <si>
    <t>Huslejeandel-indkomstandel pr. måned</t>
  </si>
  <si>
    <t>Boligstøtte pr. måned</t>
  </si>
  <si>
    <t>Boligudgift pr. kvadratmeter</t>
  </si>
  <si>
    <t>Kvadratmeter eksempel</t>
  </si>
  <si>
    <t>Overskydende boligudgift</t>
  </si>
  <si>
    <t>Beregnet boligudgift</t>
  </si>
  <si>
    <t>Antal personer i hustand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</si>
</sst>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1" fontId="0" fillId="0" borderId="1" xfId="0" applyNumberFormat="1" applyBorder="1"/>
    <xf numFmtId="1" fontId="0" fillId="0" borderId="1" xfId="0" quotePrefix="1" applyNumberForma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28DE-EFDC-F440-92BC-8C235639F446}">
  <dimension ref="B6:T27"/>
  <sheetViews>
    <sheetView tabSelected="1" topLeftCell="A5" zoomScale="119" workbookViewId="0">
      <selection activeCell="C27" sqref="C27"/>
    </sheetView>
  </sheetViews>
  <sheetFormatPr baseColWidth="10" defaultRowHeight="16" x14ac:dyDescent="0.2"/>
  <cols>
    <col min="2" max="2" width="33.1640625" customWidth="1"/>
  </cols>
  <sheetData>
    <row r="6" spans="2:20" x14ac:dyDescent="0.2">
      <c r="B6" s="11" t="s">
        <v>2</v>
      </c>
      <c r="C6" s="11"/>
    </row>
    <row r="7" spans="2:20" x14ac:dyDescent="0.2">
      <c r="B7" s="1"/>
      <c r="C7" s="1">
        <v>2025</v>
      </c>
    </row>
    <row r="8" spans="2:20" x14ac:dyDescent="0.2">
      <c r="B8" s="6" t="s">
        <v>0</v>
      </c>
      <c r="C8" s="3">
        <v>94200</v>
      </c>
      <c r="D8">
        <f>C8/12</f>
        <v>7850</v>
      </c>
    </row>
    <row r="9" spans="2:20" x14ac:dyDescent="0.2">
      <c r="B9" s="6" t="s">
        <v>7</v>
      </c>
      <c r="C9" s="3">
        <v>0.6</v>
      </c>
      <c r="N9">
        <f>400000-167900</f>
        <v>232100</v>
      </c>
    </row>
    <row r="10" spans="2:20" x14ac:dyDescent="0.2">
      <c r="B10" s="6" t="s">
        <v>6</v>
      </c>
      <c r="C10" s="3">
        <v>0.18</v>
      </c>
      <c r="N10">
        <f>N9*0.18</f>
        <v>41778</v>
      </c>
      <c r="P10">
        <f>C13-N10</f>
        <v>14742</v>
      </c>
    </row>
    <row r="11" spans="2:20" x14ac:dyDescent="0.2">
      <c r="B11" s="6" t="s">
        <v>8</v>
      </c>
      <c r="C11" s="3">
        <v>0.15</v>
      </c>
    </row>
    <row r="12" spans="2:20" x14ac:dyDescent="0.2">
      <c r="B12" s="6" t="s">
        <v>5</v>
      </c>
      <c r="C12" s="5">
        <v>167900</v>
      </c>
    </row>
    <row r="13" spans="2:20" x14ac:dyDescent="0.2">
      <c r="B13" s="9" t="s">
        <v>1</v>
      </c>
      <c r="C13" s="3">
        <f>C8*C9</f>
        <v>56520</v>
      </c>
    </row>
    <row r="14" spans="2:20" x14ac:dyDescent="0.2">
      <c r="B14" s="9" t="s">
        <v>3</v>
      </c>
      <c r="C14" s="3">
        <f>C8*C11</f>
        <v>14130</v>
      </c>
    </row>
    <row r="15" spans="2:20" x14ac:dyDescent="0.2">
      <c r="B15" s="9" t="s">
        <v>4</v>
      </c>
      <c r="C15" s="4">
        <f>C14/12</f>
        <v>1177.5</v>
      </c>
      <c r="L15">
        <f>C14/0.18+167900</f>
        <v>246400</v>
      </c>
    </row>
    <row r="16" spans="2:20" x14ac:dyDescent="0.2">
      <c r="B16" s="2" t="s">
        <v>9</v>
      </c>
      <c r="C16" s="4">
        <v>138862</v>
      </c>
      <c r="T16">
        <f>C14-13680</f>
        <v>450</v>
      </c>
    </row>
    <row r="17" spans="2:20" x14ac:dyDescent="0.2">
      <c r="B17" s="2" t="s">
        <v>11</v>
      </c>
      <c r="C17" s="3">
        <v>36429</v>
      </c>
      <c r="L17">
        <f>L15+167900</f>
        <v>414300</v>
      </c>
    </row>
    <row r="18" spans="2:20" x14ac:dyDescent="0.2">
      <c r="B18" s="2" t="s">
        <v>20</v>
      </c>
      <c r="C18" s="3">
        <v>1</v>
      </c>
    </row>
    <row r="19" spans="2:20" x14ac:dyDescent="0.2">
      <c r="B19" s="7" t="s">
        <v>17</v>
      </c>
      <c r="C19" s="3">
        <v>65</v>
      </c>
      <c r="T19">
        <f>T16/12</f>
        <v>37.5</v>
      </c>
    </row>
    <row r="20" spans="2:20" x14ac:dyDescent="0.2">
      <c r="B20" s="7" t="s">
        <v>16</v>
      </c>
      <c r="C20" s="4">
        <f>C17/C19</f>
        <v>560.44615384615383</v>
      </c>
    </row>
    <row r="21" spans="2:20" x14ac:dyDescent="0.2">
      <c r="B21" s="2" t="s">
        <v>18</v>
      </c>
      <c r="C21" s="4">
        <f>MAX((C19-65-20*(C18-1))*C20,0)</f>
        <v>0</v>
      </c>
    </row>
    <row r="22" spans="2:20" x14ac:dyDescent="0.2">
      <c r="B22" s="2" t="s">
        <v>19</v>
      </c>
      <c r="C22" s="4">
        <f>C17-C21</f>
        <v>36429</v>
      </c>
    </row>
    <row r="23" spans="2:20" x14ac:dyDescent="0.2">
      <c r="B23" s="7" t="s">
        <v>10</v>
      </c>
      <c r="C23" s="10">
        <f>(C16-C12)*C10</f>
        <v>-5226.84</v>
      </c>
      <c r="L23">
        <f>7000*12*0.15</f>
        <v>12600</v>
      </c>
      <c r="M23">
        <f>L23/12</f>
        <v>1050</v>
      </c>
    </row>
    <row r="24" spans="2:20" x14ac:dyDescent="0.2">
      <c r="B24" s="7" t="s">
        <v>12</v>
      </c>
      <c r="C24" s="4">
        <f>MIN(C22*C9,C13)</f>
        <v>21857.399999999998</v>
      </c>
    </row>
    <row r="25" spans="2:20" x14ac:dyDescent="0.2">
      <c r="B25" s="7" t="s">
        <v>13</v>
      </c>
      <c r="C25" s="4">
        <f>C24-C23</f>
        <v>27084.239999999998</v>
      </c>
    </row>
    <row r="26" spans="2:20" x14ac:dyDescent="0.2">
      <c r="B26" s="7" t="s">
        <v>14</v>
      </c>
      <c r="C26" s="4">
        <f>C25/12</f>
        <v>2257.02</v>
      </c>
    </row>
    <row r="27" spans="2:20" x14ac:dyDescent="0.2">
      <c r="B27" s="8" t="s">
        <v>15</v>
      </c>
      <c r="C27" s="4">
        <f>MAX(MIN(C15,C26),0)</f>
        <v>1177.5</v>
      </c>
    </row>
  </sheetData>
  <mergeCells count="1"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Berggren Smidt</dc:creator>
  <cp:lastModifiedBy>Marius Berggren Smidt</cp:lastModifiedBy>
  <dcterms:created xsi:type="dcterms:W3CDTF">2025-05-18T17:47:10Z</dcterms:created>
  <dcterms:modified xsi:type="dcterms:W3CDTF">2025-10-23T06:59:09Z</dcterms:modified>
</cp:coreProperties>
</file>